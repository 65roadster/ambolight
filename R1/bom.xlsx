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y\OneDrive\projects\kicad\rv_light\"/>
    </mc:Choice>
  </mc:AlternateContent>
  <xr:revisionPtr revIDLastSave="0" documentId="8_{45403894-1F57-42D3-8DE7-2ADDDBD97E45}" xr6:coauthVersionLast="47" xr6:coauthVersionMax="47" xr10:uidLastSave="{00000000-0000-0000-0000-000000000000}"/>
  <bookViews>
    <workbookView xWindow="8430" yWindow="1440" windowWidth="28800" windowHeight="15435" xr2:uid="{C9AA772A-2032-4BB5-970F-7BACAAF6D37E}"/>
  </bookViews>
  <sheets>
    <sheet name="bom" sheetId="1" r:id="rId1"/>
  </sheets>
  <calcPr calcId="0"/>
</workbook>
</file>

<file path=xl/calcChain.xml><?xml version="1.0" encoding="utf-8"?>
<calcChain xmlns="http://schemas.openxmlformats.org/spreadsheetml/2006/main">
  <c r="E20" i="1" l="1"/>
  <c r="E18" i="1"/>
  <c r="E17" i="1"/>
  <c r="E16" i="1"/>
  <c r="E15" i="1"/>
  <c r="E14" i="1"/>
  <c r="E13" i="1"/>
  <c r="E12" i="1"/>
  <c r="E11" i="1"/>
  <c r="E10" i="1"/>
  <c r="E9" i="1"/>
  <c r="E8" i="1"/>
  <c r="E7" i="1"/>
  <c r="E4" i="1"/>
  <c r="E3" i="1"/>
  <c r="E2" i="1"/>
</calcChain>
</file>

<file path=xl/sharedStrings.xml><?xml version="1.0" encoding="utf-8"?>
<sst xmlns="http://schemas.openxmlformats.org/spreadsheetml/2006/main" count="72" uniqueCount="58">
  <si>
    <t>Reference</t>
  </si>
  <si>
    <t>Value</t>
  </si>
  <si>
    <t>Datasheet</t>
  </si>
  <si>
    <t>Footprint</t>
  </si>
  <si>
    <t>Qty</t>
  </si>
  <si>
    <t>DNP</t>
  </si>
  <si>
    <t>C1,C7</t>
  </si>
  <si>
    <t>22u</t>
  </si>
  <si>
    <t>https://www.digikey.com/en/products/detail/samsung-electro-mechanics/CL31A226MOCLNNC/3888386</t>
  </si>
  <si>
    <t>Capacitor_SMD:C_1210_3225Metric_Pad1.33x2.70mm_HandSolder</t>
  </si>
  <si>
    <t>C2</t>
  </si>
  <si>
    <t>1u</t>
  </si>
  <si>
    <t>D2,D3,D4,D5,D6,D7,D8,D9,D10,D11,D12,D13,D14,D15,D16,D17,D18,D19,D20,D21,D22,D23,D24,D25</t>
  </si>
  <si>
    <t>IN-PI4818QAS5R5G5BPW</t>
  </si>
  <si>
    <t>https://www.digikey.com/en/products/detail/inolux/in-pi4818qas5r5g5bpw/16964400</t>
  </si>
  <si>
    <t>1-rjc-rv:LED_IN-PI42TASPRPGPB</t>
  </si>
  <si>
    <t>D26</t>
  </si>
  <si>
    <t>SMCJ28CA</t>
  </si>
  <si>
    <t>https://www.digikey.com/en/products/detail/taiwan-semiconductor-corporation/SMCJ28CA/3042735</t>
  </si>
  <si>
    <t>Diode_SMD:D_SMC_Handsoldering</t>
  </si>
  <si>
    <t>J1,J2,J3</t>
  </si>
  <si>
    <t>2061-602/998-404</t>
  </si>
  <si>
    <t>1-rjc-rv:WAGO_CONN2_2061-602_998-404_WAG</t>
  </si>
  <si>
    <t>Q1,Q3</t>
  </si>
  <si>
    <t>DMP3099L</t>
  </si>
  <si>
    <t>https://www.digikey.com/en/products/detail/diodes-incorporated/DMP3099L-7/4471075</t>
  </si>
  <si>
    <t>Package_TO_SOT_SMD:TSOT-23_HandSoldering</t>
  </si>
  <si>
    <t>Q2</t>
  </si>
  <si>
    <t>BSS138-7-F</t>
  </si>
  <si>
    <t>https://www.digikey.com/en/products/detail/diodes-incorporated/BSS138-7-F/717723</t>
  </si>
  <si>
    <t>Q5</t>
  </si>
  <si>
    <t>MMBT3904</t>
  </si>
  <si>
    <t>https://www.digikey.com/en/products/detail/nexperia-usa-inc/MMBT3904-215/1156599</t>
  </si>
  <si>
    <t>Package_TO_SOT_SMD:SOT-23</t>
  </si>
  <si>
    <t>R1,R2,R3,R18</t>
  </si>
  <si>
    <t>10k</t>
  </si>
  <si>
    <t>~</t>
  </si>
  <si>
    <t>Resistor_SMD:R_1206_3216Metric_Pad1.30x1.75mm_HandSolder</t>
  </si>
  <si>
    <t>R4,R8</t>
  </si>
  <si>
    <t>100k</t>
  </si>
  <si>
    <t>R5,R7</t>
  </si>
  <si>
    <t>R6</t>
  </si>
  <si>
    <t>R17</t>
  </si>
  <si>
    <t>40.2k</t>
  </si>
  <si>
    <t>TP1,TP2,TP3,TP4,TP5,TP6,TP7,TP8,TP9,TP10,TP11</t>
  </si>
  <si>
    <t>TestPoint</t>
  </si>
  <si>
    <t>1-rjc-rv:TP_SMT_25mil</t>
  </si>
  <si>
    <t>U1</t>
  </si>
  <si>
    <t>TLVM23615RDNR</t>
  </si>
  <si>
    <t>https://www.digikey.com/en/products/detail/texas-instruments/TLVM23615RDNR/18716429?s=N4IgTCBcDaICoBkBqBZMBmAbARgKwCUARAOXxAF0BfIA</t>
  </si>
  <si>
    <t>1-rjc-rv:TLVM23615RDNR</t>
  </si>
  <si>
    <t>U2</t>
  </si>
  <si>
    <t>MOUDLE-SEEEDUINO-XIAO-ESP32C3</t>
  </si>
  <si>
    <t>KM-ESP-Kit:SeeedStudio-MOUDLE14P-SMD-2.54-21X17.8MM</t>
  </si>
  <si>
    <t>Price Ea</t>
  </si>
  <si>
    <t>Extended Price</t>
  </si>
  <si>
    <t>PCB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</si>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</sst>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4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gikey.com/en/products/detail/nexperia-usa-inc/MMBT3904-215/11565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D3B86-A4E5-479B-BBE6-FBA6E4F507B9}">
  <dimension ref="A1:I20"/>
  <sheetViews>
    <sheetView tabSelected="1" workbookViewId="0">
      <selection activeCell="F23" sqref="F23"/>
    </sheetView>
  </sheetViews>
  <sheetFormatPr defaultRowHeight="15" x14ac:dyDescent="0.25"/>
  <cols>
    <col min="1" max="1" width="15" customWidth="1"/>
    <col min="2" max="2" width="18.42578125" customWidth="1"/>
    <col min="3" max="3" width="5.140625" customWidth="1"/>
    <col min="4" max="4" width="9.28515625" customWidth="1"/>
    <col min="5" max="5" width="13.85546875" bestFit="1" customWidth="1"/>
    <col min="6" max="6" width="136.42578125" bestFit="1" customWidth="1"/>
    <col min="7" max="7" width="59.7109375" bestFit="1" customWidth="1"/>
  </cols>
  <sheetData>
    <row r="1" spans="1:9" x14ac:dyDescent="0.25">
      <c r="A1" t="s">
        <v>0</v>
      </c>
      <c r="B1" t="s">
        <v>1</v>
      </c>
      <c r="C1" t="s">
        <v>4</v>
      </c>
      <c r="D1" t="s">
        <v>54</v>
      </c>
      <c r="E1" t="s">
        <v>55</v>
      </c>
      <c r="F1" t="s">
        <v>2</v>
      </c>
      <c r="G1" t="s">
        <v>3</v>
      </c>
      <c r="H1" t="s">
        <v>4</v>
      </c>
      <c r="I1" t="s">
        <v>5</v>
      </c>
    </row>
    <row r="2" spans="1:9" x14ac:dyDescent="0.25">
      <c r="A2" t="s">
        <v>6</v>
      </c>
      <c r="B2" t="s">
        <v>7</v>
      </c>
      <c r="C2">
        <v>0</v>
      </c>
      <c r="D2" s="2">
        <v>0.15</v>
      </c>
      <c r="E2" s="2">
        <f>D2*C2</f>
        <v>0</v>
      </c>
      <c r="F2" t="s">
        <v>8</v>
      </c>
      <c r="G2" t="s">
        <v>9</v>
      </c>
      <c r="H2">
        <v>2</v>
      </c>
    </row>
    <row r="3" spans="1:9" x14ac:dyDescent="0.25">
      <c r="A3" t="s">
        <v>10</v>
      </c>
      <c r="B3" t="s">
        <v>11</v>
      </c>
      <c r="C3">
        <v>1</v>
      </c>
      <c r="D3" s="2">
        <v>0.01</v>
      </c>
      <c r="E3" s="2">
        <f>D3*C3</f>
        <v>0.01</v>
      </c>
      <c r="F3" t="s">
        <v>8</v>
      </c>
      <c r="G3" t="s">
        <v>9</v>
      </c>
      <c r="H3">
        <v>1</v>
      </c>
    </row>
    <row r="4" spans="1:9" x14ac:dyDescent="0.25">
      <c r="A4" t="s">
        <v>12</v>
      </c>
      <c r="B4" t="s">
        <v>13</v>
      </c>
      <c r="C4">
        <v>24</v>
      </c>
      <c r="D4" s="2">
        <v>0.41</v>
      </c>
      <c r="E4" s="2">
        <f>D4*C4</f>
        <v>9.84</v>
      </c>
      <c r="F4" t="s">
        <v>14</v>
      </c>
      <c r="G4" t="s">
        <v>15</v>
      </c>
      <c r="H4">
        <v>24</v>
      </c>
    </row>
    <row r="5" spans="1:9" x14ac:dyDescent="0.25">
      <c r="A5" t="s">
        <v>16</v>
      </c>
      <c r="B5" t="s">
        <v>17</v>
      </c>
      <c r="C5">
        <v>0</v>
      </c>
      <c r="D5" s="2"/>
      <c r="E5" s="2"/>
      <c r="F5" t="s">
        <v>18</v>
      </c>
      <c r="G5" t="s">
        <v>19</v>
      </c>
      <c r="H5">
        <v>1</v>
      </c>
    </row>
    <row r="6" spans="1:9" x14ac:dyDescent="0.25">
      <c r="A6" t="s">
        <v>20</v>
      </c>
      <c r="B6" t="s">
        <v>21</v>
      </c>
      <c r="C6">
        <v>0</v>
      </c>
      <c r="D6" s="2"/>
      <c r="E6" s="2"/>
      <c r="F6" t="s">
        <v>21</v>
      </c>
      <c r="G6" t="s">
        <v>22</v>
      </c>
      <c r="H6">
        <v>3</v>
      </c>
    </row>
    <row r="7" spans="1:9" x14ac:dyDescent="0.25">
      <c r="A7" t="s">
        <v>23</v>
      </c>
      <c r="B7" t="s">
        <v>24</v>
      </c>
      <c r="C7">
        <v>1</v>
      </c>
      <c r="D7" s="2">
        <v>0.18</v>
      </c>
      <c r="E7" s="2">
        <f>D7*C7</f>
        <v>0.18</v>
      </c>
      <c r="F7" t="s">
        <v>25</v>
      </c>
      <c r="G7" t="s">
        <v>26</v>
      </c>
      <c r="H7">
        <v>2</v>
      </c>
    </row>
    <row r="8" spans="1:9" x14ac:dyDescent="0.25">
      <c r="A8" t="s">
        <v>27</v>
      </c>
      <c r="B8" t="s">
        <v>28</v>
      </c>
      <c r="C8">
        <v>1</v>
      </c>
      <c r="D8" s="2">
        <v>0.11</v>
      </c>
      <c r="E8" s="2">
        <f>D8*C8</f>
        <v>0.11</v>
      </c>
      <c r="F8" t="s">
        <v>29</v>
      </c>
      <c r="G8" t="s">
        <v>26</v>
      </c>
      <c r="H8">
        <v>1</v>
      </c>
    </row>
    <row r="9" spans="1:9" x14ac:dyDescent="0.25">
      <c r="A9" t="s">
        <v>30</v>
      </c>
      <c r="B9" t="s">
        <v>31</v>
      </c>
      <c r="C9">
        <v>1</v>
      </c>
      <c r="D9" s="2">
        <v>0.05</v>
      </c>
      <c r="E9" s="2">
        <f>D9*C9</f>
        <v>0.05</v>
      </c>
      <c r="F9" s="1" t="s">
        <v>32</v>
      </c>
      <c r="G9" t="s">
        <v>33</v>
      </c>
      <c r="H9">
        <v>1</v>
      </c>
    </row>
    <row r="10" spans="1:9" x14ac:dyDescent="0.25">
      <c r="A10" t="s">
        <v>34</v>
      </c>
      <c r="B10" t="s">
        <v>35</v>
      </c>
      <c r="C10">
        <v>5</v>
      </c>
      <c r="D10" s="2">
        <v>0.01</v>
      </c>
      <c r="E10" s="2">
        <f>D10*C10</f>
        <v>0.05</v>
      </c>
      <c r="F10" t="s">
        <v>36</v>
      </c>
      <c r="G10" t="s">
        <v>37</v>
      </c>
      <c r="H10">
        <v>4</v>
      </c>
    </row>
    <row r="11" spans="1:9" x14ac:dyDescent="0.25">
      <c r="A11" t="s">
        <v>38</v>
      </c>
      <c r="B11" t="s">
        <v>39</v>
      </c>
      <c r="C11">
        <v>0</v>
      </c>
      <c r="D11" s="2"/>
      <c r="E11" s="2">
        <f t="shared" ref="E11:E18" si="0">D11*C11</f>
        <v>0</v>
      </c>
      <c r="F11" t="s">
        <v>36</v>
      </c>
      <c r="G11" t="s">
        <v>37</v>
      </c>
      <c r="H11">
        <v>2</v>
      </c>
    </row>
    <row r="12" spans="1:9" x14ac:dyDescent="0.25">
      <c r="A12" t="s">
        <v>40</v>
      </c>
      <c r="B12">
        <v>0</v>
      </c>
      <c r="C12">
        <v>0</v>
      </c>
      <c r="D12" s="2"/>
      <c r="E12" s="2">
        <f t="shared" si="0"/>
        <v>0</v>
      </c>
      <c r="F12" t="s">
        <v>36</v>
      </c>
      <c r="G12" t="s">
        <v>37</v>
      </c>
      <c r="H12">
        <v>2</v>
      </c>
    </row>
    <row r="13" spans="1:9" x14ac:dyDescent="0.25">
      <c r="A13" t="s">
        <v>41</v>
      </c>
      <c r="B13">
        <v>300</v>
      </c>
      <c r="C13">
        <v>0</v>
      </c>
      <c r="D13" s="2"/>
      <c r="E13" s="2">
        <f t="shared" si="0"/>
        <v>0</v>
      </c>
      <c r="F13" t="s">
        <v>36</v>
      </c>
      <c r="G13" t="s">
        <v>37</v>
      </c>
      <c r="H13">
        <v>1</v>
      </c>
    </row>
    <row r="14" spans="1:9" x14ac:dyDescent="0.25">
      <c r="A14" t="s">
        <v>42</v>
      </c>
      <c r="B14" t="s">
        <v>43</v>
      </c>
      <c r="C14">
        <v>0</v>
      </c>
      <c r="D14" s="2"/>
      <c r="E14" s="2">
        <f t="shared" si="0"/>
        <v>0</v>
      </c>
      <c r="F14" t="s">
        <v>36</v>
      </c>
      <c r="G14" t="s">
        <v>37</v>
      </c>
      <c r="H14">
        <v>1</v>
      </c>
    </row>
    <row r="15" spans="1:9" x14ac:dyDescent="0.25">
      <c r="A15" t="s">
        <v>44</v>
      </c>
      <c r="B15" t="s">
        <v>45</v>
      </c>
      <c r="C15">
        <v>0</v>
      </c>
      <c r="D15" s="2"/>
      <c r="E15" s="2">
        <f t="shared" si="0"/>
        <v>0</v>
      </c>
      <c r="F15" t="s">
        <v>36</v>
      </c>
      <c r="G15" t="s">
        <v>46</v>
      </c>
      <c r="H15">
        <v>11</v>
      </c>
    </row>
    <row r="16" spans="1:9" x14ac:dyDescent="0.25">
      <c r="A16" t="s">
        <v>47</v>
      </c>
      <c r="B16" t="s">
        <v>48</v>
      </c>
      <c r="C16">
        <v>0</v>
      </c>
      <c r="D16" s="2"/>
      <c r="E16" s="2">
        <f t="shared" si="0"/>
        <v>0</v>
      </c>
      <c r="F16" t="s">
        <v>49</v>
      </c>
      <c r="G16" t="s">
        <v>50</v>
      </c>
      <c r="H16">
        <v>1</v>
      </c>
    </row>
    <row r="17" spans="1:8" x14ac:dyDescent="0.25">
      <c r="A17" t="s">
        <v>51</v>
      </c>
      <c r="B17" t="s">
        <v>52</v>
      </c>
      <c r="C17">
        <v>1</v>
      </c>
      <c r="D17" s="2">
        <v>5</v>
      </c>
      <c r="E17" s="2">
        <f t="shared" si="0"/>
        <v>5</v>
      </c>
      <c r="G17" t="s">
        <v>53</v>
      </c>
      <c r="H17">
        <v>1</v>
      </c>
    </row>
    <row r="18" spans="1:8" x14ac:dyDescent="0.25">
      <c r="B18" t="s">
        <v>56</v>
      </c>
      <c r="C18">
        <v>1</v>
      </c>
      <c r="D18" s="2">
        <v>5</v>
      </c>
      <c r="E18" s="2">
        <f t="shared" si="0"/>
        <v>5</v>
      </c>
    </row>
    <row r="19" spans="1:8" x14ac:dyDescent="0.25">
      <c r="D19" s="2"/>
      <c r="E19" s="2"/>
    </row>
    <row r="20" spans="1:8" x14ac:dyDescent="0.25">
      <c r="D20" s="2" t="s">
        <v>57</v>
      </c>
      <c r="E20" s="2">
        <f>SUM(E2:E19)</f>
        <v>20.240000000000002</v>
      </c>
    </row>
  </sheetData>
  <hyperlinks>
    <hyperlink ref="F9" r:id="rId1" xr:uid="{8F13B888-0B0E-4272-9B75-A1183B6D03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</dc:creator>
  <cp:lastModifiedBy>Raymond Crampton</cp:lastModifiedBy>
  <dcterms:modified xsi:type="dcterms:W3CDTF">2024-12-20T05:27:54Z</dcterms:modified>
</cp:coreProperties>
</file>